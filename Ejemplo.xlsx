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ff616c97134a8b/Desktop/simulaciones/"/>
    </mc:Choice>
  </mc:AlternateContent>
  <xr:revisionPtr revIDLastSave="20" documentId="8_{5D27F388-F76B-4D11-A567-E5B95653F0C8}" xr6:coauthVersionLast="47" xr6:coauthVersionMax="47" xr10:uidLastSave="{805AE7F2-C79E-405D-9EB7-0BE796921C80}"/>
  <bookViews>
    <workbookView xWindow="28680" yWindow="-120" windowWidth="29040" windowHeight="15720" xr2:uid="{35853F70-FFE2-446D-BB51-9F3092C304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D13" i="1" s="1"/>
  <c r="C7" i="1"/>
  <c r="C8" i="1" s="1"/>
  <c r="D17" i="1" l="1"/>
  <c r="D15" i="1"/>
  <c r="D16" i="1"/>
  <c r="K13" i="1"/>
  <c r="K15" i="1" s="1"/>
  <c r="J13" i="1"/>
  <c r="I13" i="1"/>
  <c r="H13" i="1"/>
  <c r="G13" i="1"/>
  <c r="C13" i="1"/>
  <c r="C15" i="1" s="1"/>
  <c r="N13" i="1"/>
  <c r="F13" i="1"/>
  <c r="M13" i="1"/>
  <c r="E13" i="1"/>
  <c r="L13" i="1"/>
  <c r="C17" i="1" l="1"/>
  <c r="K17" i="1"/>
  <c r="K16" i="1"/>
  <c r="C16" i="1"/>
  <c r="M16" i="1"/>
  <c r="M17" i="1"/>
  <c r="M15" i="1"/>
  <c r="G16" i="1"/>
  <c r="G15" i="1"/>
  <c r="G17" i="1"/>
  <c r="L17" i="1"/>
  <c r="L15" i="1"/>
  <c r="L16" i="1"/>
  <c r="E16" i="1"/>
  <c r="E17" i="1"/>
  <c r="E15" i="1"/>
  <c r="F15" i="1"/>
  <c r="F16" i="1"/>
  <c r="F17" i="1"/>
  <c r="H16" i="1"/>
  <c r="H17" i="1"/>
  <c r="H15" i="1"/>
  <c r="I15" i="1"/>
  <c r="I16" i="1"/>
  <c r="I17" i="1"/>
  <c r="J16" i="1"/>
  <c r="J17" i="1"/>
  <c r="J15" i="1"/>
  <c r="N15" i="1"/>
  <c r="N16" i="1"/>
  <c r="N17" i="1"/>
  <c r="O13" i="1"/>
</calcChain>
</file>

<file path=xl/sharedStrings.xml><?xml version="1.0" encoding="utf-8"?>
<sst xmlns="http://schemas.openxmlformats.org/spreadsheetml/2006/main" count="26" uniqueCount="26">
  <si>
    <t>COLATLT119</t>
  </si>
  <si>
    <t>Radiación Día Solargis</t>
  </si>
  <si>
    <t>Producción en P90 en DC</t>
  </si>
  <si>
    <t>Producción en P90 diaria</t>
  </si>
  <si>
    <t>Ratio</t>
  </si>
  <si>
    <t>-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</si>
  <si>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</si>
  <si>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</si>
  <si>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</si>
  <si>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</si>
  <si>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</si>
  <si>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</si>
  <si>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</si>
  <si>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</si>
  <si>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</si>
  <si>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</si>
  <si>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</si>
  <si>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</si>
  <si>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Año</t>
  </si>
  <si>
    <t>P50</t>
  </si>
  <si>
    <t>P75</t>
  </si>
  <si>
    <t>P90</t>
  </si>
  <si>
    <t>P99</t>
  </si>
  <si>
    <t>Proporción mensual</t>
  </si>
  <si>
    <t>Mes</t>
  </si>
  <si>
    <t># del 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</si>
</sst>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rgb="FF0070C0"/>
      <name val="Calibri"/>
      <family val="2"/>
    </font>
    <font>
      <sz val="11"/>
      <color theme="2" tint="-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ont="1"/>
    <xf numFmtId="0" fontId="0" fillId="0" borderId="0" xfId="0" applyFont="1" applyBorder="1"/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right" wrapText="1"/>
    </xf>
    <xf numFmtId="3" fontId="0" fillId="0" borderId="0" xfId="0" applyNumberFormat="1" applyFont="1" applyFill="1" applyBorder="1" applyAlignment="1">
      <alignment horizontal="right" wrapText="1"/>
    </xf>
    <xf numFmtId="0" fontId="0" fillId="0" borderId="0" xfId="0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wrapText="1"/>
    </xf>
    <xf numFmtId="0" fontId="1" fillId="0" borderId="0" xfId="0" applyFont="1" applyFill="1" applyBorder="1" applyAlignment="1">
      <alignment horizontal="right" wrapText="1"/>
    </xf>
    <xf numFmtId="3" fontId="1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57878-3C9A-42BF-B170-CE555DD06A6E}">
  <dimension ref="B2:O17"/>
  <sheetViews>
    <sheetView tabSelected="1" workbookViewId="0">
      <selection activeCell="N15" sqref="N15"/>
    </sheetView>
  </sheetViews>
  <sheetFormatPr baseColWidth="10" defaultRowHeight="14.5" x14ac:dyDescent="0.35"/>
  <cols>
    <col min="1" max="1" width="10.90625" style="1"/>
    <col min="2" max="2" width="21.6328125" style="1" bestFit="1" customWidth="1"/>
    <col min="3" max="3" width="12" style="1" bestFit="1" customWidth="1"/>
    <col min="4" max="16384" width="10.90625" style="1"/>
  </cols>
  <sheetData>
    <row r="2" spans="2:15" x14ac:dyDescent="0.35">
      <c r="C2" s="2"/>
    </row>
    <row r="3" spans="2:15" x14ac:dyDescent="0.35">
      <c r="C3" s="2"/>
    </row>
    <row r="4" spans="2:15" x14ac:dyDescent="0.35">
      <c r="C4" s="3" t="s">
        <v>0</v>
      </c>
    </row>
    <row r="5" spans="2:15" x14ac:dyDescent="0.35">
      <c r="B5" s="1" t="s">
        <v>1</v>
      </c>
      <c r="C5" s="11">
        <v>4.4800000000000004</v>
      </c>
    </row>
    <row r="6" spans="2:15" x14ac:dyDescent="0.35">
      <c r="B6" s="1" t="s">
        <v>2</v>
      </c>
      <c r="C6" s="5">
        <v>2424300</v>
      </c>
    </row>
    <row r="7" spans="2:15" x14ac:dyDescent="0.35">
      <c r="B7" s="1" t="s">
        <v>3</v>
      </c>
      <c r="C7" s="4">
        <f>C6/1321/365</f>
        <v>5.0279468646625114</v>
      </c>
    </row>
    <row r="8" spans="2:15" x14ac:dyDescent="0.35">
      <c r="B8" s="1" t="s">
        <v>4</v>
      </c>
      <c r="C8" s="4">
        <f>C7/C5</f>
        <v>1.1223095680050248</v>
      </c>
    </row>
    <row r="9" spans="2:15" x14ac:dyDescent="0.35">
      <c r="C9" s="2"/>
    </row>
    <row r="10" spans="2:15" x14ac:dyDescent="0.35">
      <c r="C10" s="2"/>
    </row>
    <row r="11" spans="2:15" x14ac:dyDescent="0.35">
      <c r="B11" s="15" t="s">
        <v>25</v>
      </c>
      <c r="C11" s="15">
        <v>1</v>
      </c>
      <c r="D11" s="15">
        <v>2</v>
      </c>
      <c r="E11" s="15">
        <v>3</v>
      </c>
      <c r="F11" s="15">
        <v>4</v>
      </c>
      <c r="G11" s="15">
        <v>5</v>
      </c>
      <c r="H11" s="15">
        <v>6</v>
      </c>
      <c r="I11" s="15">
        <v>7</v>
      </c>
      <c r="J11" s="15">
        <v>8</v>
      </c>
      <c r="K11" s="15">
        <v>9</v>
      </c>
      <c r="L11" s="15">
        <v>10</v>
      </c>
      <c r="M11" s="15">
        <v>11</v>
      </c>
      <c r="N11" s="15">
        <v>12</v>
      </c>
      <c r="O11" s="16" t="s">
        <v>5</v>
      </c>
    </row>
    <row r="12" spans="2:15" x14ac:dyDescent="0.35">
      <c r="B12" s="15" t="s">
        <v>24</v>
      </c>
      <c r="C12" s="15" t="s">
        <v>6</v>
      </c>
      <c r="D12" s="15" t="s">
        <v>7</v>
      </c>
      <c r="E12" s="15" t="s">
        <v>8</v>
      </c>
      <c r="F12" s="15" t="s">
        <v>9</v>
      </c>
      <c r="G12" s="15" t="s">
        <v>10</v>
      </c>
      <c r="H12" s="15" t="s">
        <v>11</v>
      </c>
      <c r="I12" s="15" t="s">
        <v>12</v>
      </c>
      <c r="J12" s="15" t="s">
        <v>13</v>
      </c>
      <c r="K12" s="15" t="s">
        <v>14</v>
      </c>
      <c r="L12" s="15" t="s">
        <v>15</v>
      </c>
      <c r="M12" s="15" t="s">
        <v>16</v>
      </c>
      <c r="N12" s="15" t="s">
        <v>17</v>
      </c>
      <c r="O12" s="16" t="s">
        <v>18</v>
      </c>
    </row>
    <row r="13" spans="2:15" x14ac:dyDescent="0.35">
      <c r="B13" s="6" t="s">
        <v>23</v>
      </c>
      <c r="C13" s="7">
        <f>C$14/$O$14</f>
        <v>8.6723443084176108E-2</v>
      </c>
      <c r="D13" s="7">
        <f t="shared" ref="D13:N13" si="0">D$14/$O$14</f>
        <v>7.752262185385142E-2</v>
      </c>
      <c r="E13" s="7">
        <f t="shared" si="0"/>
        <v>8.7749980990038778E-2</v>
      </c>
      <c r="F13" s="7">
        <f t="shared" si="0"/>
        <v>9.0107216181278996E-2</v>
      </c>
      <c r="G13" s="7">
        <f t="shared" si="0"/>
        <v>8.143867386510531E-2</v>
      </c>
      <c r="H13" s="7">
        <f t="shared" si="0"/>
        <v>8.8776518895901449E-2</v>
      </c>
      <c r="I13" s="7">
        <f t="shared" si="0"/>
        <v>9.1818112691050113E-2</v>
      </c>
      <c r="J13" s="7">
        <f t="shared" si="0"/>
        <v>8.7749980990038778E-2</v>
      </c>
      <c r="K13" s="7">
        <f t="shared" si="0"/>
        <v>7.5355486274807995E-2</v>
      </c>
      <c r="L13" s="7">
        <f t="shared" si="0"/>
        <v>6.9994677210858489E-2</v>
      </c>
      <c r="M13" s="7">
        <f t="shared" si="0"/>
        <v>7.5317466352368648E-2</v>
      </c>
      <c r="N13" s="7">
        <f t="shared" si="0"/>
        <v>8.7445821610523916E-2</v>
      </c>
      <c r="O13" s="8">
        <f>SUM(C13:N13)</f>
        <v>1</v>
      </c>
    </row>
    <row r="14" spans="2:15" x14ac:dyDescent="0.35">
      <c r="B14" s="6" t="s">
        <v>19</v>
      </c>
      <c r="C14" s="12">
        <v>228100</v>
      </c>
      <c r="D14" s="12">
        <v>203900</v>
      </c>
      <c r="E14" s="12">
        <v>230800</v>
      </c>
      <c r="F14" s="12">
        <v>237000</v>
      </c>
      <c r="G14" s="12">
        <v>214200</v>
      </c>
      <c r="H14" s="12">
        <v>233500</v>
      </c>
      <c r="I14" s="12">
        <v>241500</v>
      </c>
      <c r="J14" s="12">
        <v>230800</v>
      </c>
      <c r="K14" s="12">
        <v>198200</v>
      </c>
      <c r="L14" s="13">
        <v>184100</v>
      </c>
      <c r="M14" s="13">
        <v>198100</v>
      </c>
      <c r="N14" s="13">
        <v>230000</v>
      </c>
      <c r="O14" s="10">
        <f>SUM(C14:N14)</f>
        <v>2630200</v>
      </c>
    </row>
    <row r="15" spans="2:15" x14ac:dyDescent="0.35">
      <c r="B15" s="6" t="s">
        <v>20</v>
      </c>
      <c r="C15" s="9">
        <f>C$13*$O15</f>
        <v>0</v>
      </c>
      <c r="D15" s="9">
        <f t="shared" ref="D15:N17" si="1">D$13*$O15</f>
        <v>0</v>
      </c>
      <c r="E15" s="9">
        <f t="shared" si="1"/>
        <v>0</v>
      </c>
      <c r="F15" s="9">
        <f t="shared" si="1"/>
        <v>0</v>
      </c>
      <c r="G15" s="9">
        <f t="shared" si="1"/>
        <v>0</v>
      </c>
      <c r="H15" s="9">
        <f t="shared" si="1"/>
        <v>0</v>
      </c>
      <c r="I15" s="9">
        <f t="shared" si="1"/>
        <v>0</v>
      </c>
      <c r="J15" s="9">
        <f t="shared" si="1"/>
        <v>0</v>
      </c>
      <c r="K15" s="9">
        <f t="shared" si="1"/>
        <v>0</v>
      </c>
      <c r="L15" s="9">
        <f t="shared" si="1"/>
        <v>0</v>
      </c>
      <c r="M15" s="9">
        <f t="shared" si="1"/>
        <v>0</v>
      </c>
      <c r="N15" s="9">
        <f t="shared" si="1"/>
        <v>0</v>
      </c>
      <c r="O15" s="14">
        <v>0</v>
      </c>
    </row>
    <row r="16" spans="2:15" x14ac:dyDescent="0.35">
      <c r="B16" s="6" t="s">
        <v>21</v>
      </c>
      <c r="C16" s="9">
        <f t="shared" ref="C16:C17" si="2">C$13*$O16</f>
        <v>210243.64306896814</v>
      </c>
      <c r="D16" s="9">
        <f t="shared" si="1"/>
        <v>187938.092160292</v>
      </c>
      <c r="E16" s="9">
        <f t="shared" si="1"/>
        <v>212732.27891415101</v>
      </c>
      <c r="F16" s="9">
        <f t="shared" si="1"/>
        <v>218446.92418827466</v>
      </c>
      <c r="G16" s="9">
        <f t="shared" si="1"/>
        <v>197431.77705117481</v>
      </c>
      <c r="H16" s="9">
        <f t="shared" si="1"/>
        <v>215220.91475933389</v>
      </c>
      <c r="I16" s="9">
        <f t="shared" si="1"/>
        <v>222594.65059691278</v>
      </c>
      <c r="J16" s="9">
        <f t="shared" si="1"/>
        <v>212732.27891415101</v>
      </c>
      <c r="K16" s="9">
        <f t="shared" si="1"/>
        <v>182684.30537601703</v>
      </c>
      <c r="L16" s="9">
        <f t="shared" si="1"/>
        <v>169688.09596228422</v>
      </c>
      <c r="M16" s="9">
        <f t="shared" si="1"/>
        <v>182592.13367804731</v>
      </c>
      <c r="N16" s="9">
        <f t="shared" si="1"/>
        <v>211994.90533039314</v>
      </c>
      <c r="O16" s="13">
        <v>2424300</v>
      </c>
    </row>
    <row r="17" spans="2:15" x14ac:dyDescent="0.35">
      <c r="B17" s="6" t="s">
        <v>22</v>
      </c>
      <c r="C17" s="9">
        <f t="shared" si="2"/>
        <v>195700.12166375181</v>
      </c>
      <c r="D17" s="9">
        <f t="shared" si="1"/>
        <v>174937.54847540113</v>
      </c>
      <c r="E17" s="9">
        <f t="shared" si="1"/>
        <v>198016.60710212152</v>
      </c>
      <c r="F17" s="9">
        <f t="shared" si="1"/>
        <v>203335.94403467418</v>
      </c>
      <c r="G17" s="9">
        <f t="shared" si="1"/>
        <v>183774.51144399666</v>
      </c>
      <c r="H17" s="9">
        <f t="shared" si="1"/>
        <v>200333.0925404912</v>
      </c>
      <c r="I17" s="9">
        <f t="shared" si="1"/>
        <v>207196.75309862368</v>
      </c>
      <c r="J17" s="9">
        <f t="shared" si="1"/>
        <v>198016.60710212152</v>
      </c>
      <c r="K17" s="9">
        <f t="shared" si="1"/>
        <v>170047.19032773172</v>
      </c>
      <c r="L17" s="9">
        <f t="shared" si="1"/>
        <v>157949.98859402328</v>
      </c>
      <c r="M17" s="9">
        <f t="shared" si="1"/>
        <v>169961.3945707551</v>
      </c>
      <c r="N17" s="9">
        <f t="shared" si="1"/>
        <v>197330.24104630828</v>
      </c>
      <c r="O17" s="13">
        <v>2256600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Roveda Salamanca</dc:creator>
  <cp:lastModifiedBy>Nicolás Roveda Salamanca</cp:lastModifiedBy>
  <dcterms:created xsi:type="dcterms:W3CDTF">2026-03-25T18:29:15Z</dcterms:created>
  <dcterms:modified xsi:type="dcterms:W3CDTF">2026-03-25T21:54:41Z</dcterms:modified>
</cp:coreProperties>
</file>